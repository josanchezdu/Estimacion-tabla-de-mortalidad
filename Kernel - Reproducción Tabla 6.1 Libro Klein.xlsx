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\Documents\Docencia\Supervivencia\"/>
    </mc:Choice>
  </mc:AlternateContent>
  <xr:revisionPtr revIDLastSave="0" documentId="13_ncr:1_{5ED038A1-5AFB-44D8-93A6-8557CB0B5630}" xr6:coauthVersionLast="36" xr6:coauthVersionMax="36" xr10:uidLastSave="{00000000-0000-0000-0000-000000000000}"/>
  <bookViews>
    <workbookView xWindow="0" yWindow="0" windowWidth="20490" windowHeight="776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calcChain.xml><?xml version="1.0" encoding="utf-8"?>
<calcChain xmlns="http://schemas.openxmlformats.org/spreadsheetml/2006/main">
  <c r="M32" i="1" l="1"/>
  <c r="I32" i="1"/>
  <c r="M31" i="1"/>
  <c r="I31" i="1"/>
  <c r="D24" i="2" l="1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M30" i="1"/>
  <c r="I30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M25" i="1" s="1"/>
  <c r="L26" i="1"/>
  <c r="L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  <c r="C12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F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D19" i="1"/>
  <c r="D20" i="1"/>
  <c r="D21" i="1"/>
  <c r="D22" i="1"/>
  <c r="D23" i="1"/>
  <c r="D24" i="1"/>
  <c r="D25" i="1"/>
  <c r="D26" i="1"/>
  <c r="D4" i="1"/>
  <c r="C6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5" i="1"/>
  <c r="C4" i="1"/>
  <c r="F4" i="1" s="1"/>
  <c r="I12" i="1" l="1"/>
  <c r="I10" i="1"/>
  <c r="E3" i="2"/>
  <c r="E5" i="2"/>
  <c r="E7" i="2"/>
  <c r="E9" i="2"/>
  <c r="E11" i="2"/>
  <c r="E13" i="2"/>
  <c r="E15" i="2"/>
  <c r="E17" i="2"/>
  <c r="E19" i="2"/>
  <c r="E21" i="2"/>
  <c r="E23" i="2"/>
  <c r="E24" i="2"/>
  <c r="E2" i="2"/>
  <c r="E4" i="2"/>
  <c r="E6" i="2"/>
  <c r="E8" i="2"/>
  <c r="E10" i="2"/>
  <c r="E12" i="2"/>
  <c r="E14" i="2"/>
  <c r="E16" i="2"/>
  <c r="E18" i="2"/>
  <c r="E20" i="2"/>
  <c r="E22" i="2"/>
  <c r="I4" i="1"/>
  <c r="I13" i="1"/>
  <c r="J13" i="1" s="1"/>
  <c r="I11" i="1"/>
  <c r="J11" i="1" s="1"/>
  <c r="I9" i="1"/>
  <c r="J9" i="1" s="1"/>
  <c r="I7" i="1"/>
  <c r="J7" i="1" s="1"/>
  <c r="I5" i="1"/>
  <c r="J5" i="1" s="1"/>
  <c r="M26" i="1"/>
  <c r="N26" i="1" s="1"/>
  <c r="M24" i="1"/>
  <c r="N24" i="1" s="1"/>
  <c r="F16" i="1"/>
  <c r="F14" i="1"/>
  <c r="F10" i="1"/>
  <c r="F8" i="1"/>
  <c r="F6" i="1"/>
  <c r="J12" i="1"/>
  <c r="J10" i="1"/>
  <c r="I8" i="1"/>
  <c r="J8" i="1" s="1"/>
  <c r="I6" i="1"/>
  <c r="J6" i="1" s="1"/>
  <c r="N25" i="1"/>
  <c r="F17" i="1"/>
  <c r="F15" i="1"/>
  <c r="F13" i="1"/>
  <c r="F11" i="1"/>
  <c r="F9" i="1"/>
  <c r="F7" i="1"/>
  <c r="F5" i="1"/>
  <c r="J4" i="1"/>
  <c r="F28" i="1" l="1"/>
  <c r="N28" i="1"/>
  <c r="J28" i="1"/>
</calcChain>
</file>

<file path=xl/sharedStrings.xml><?xml version="1.0" encoding="utf-8"?>
<sst xmlns="http://schemas.openxmlformats.org/spreadsheetml/2006/main" count="30" uniqueCount="26">
  <si>
    <t>t</t>
  </si>
  <si>
    <t>H(t)</t>
  </si>
  <si>
    <t>sh</t>
  </si>
  <si>
    <t>D Vh</t>
  </si>
  <si>
    <t>Vh</t>
  </si>
  <si>
    <t>(150-t)/100</t>
  </si>
  <si>
    <t>K((150-t)/100)</t>
  </si>
  <si>
    <t>(50-t)/100</t>
  </si>
  <si>
    <t>alphaE</t>
  </si>
  <si>
    <t>betaE</t>
  </si>
  <si>
    <t>K((50-t)/100)</t>
  </si>
  <si>
    <t>(600-t)/100</t>
  </si>
  <si>
    <t>K((600-t)/100)</t>
  </si>
  <si>
    <t>alphaBW</t>
  </si>
  <si>
    <t>q</t>
  </si>
  <si>
    <r>
      <t xml:space="preserve"> </t>
    </r>
    <r>
      <rPr>
        <b/>
        <sz val="11"/>
        <color theme="1"/>
        <rFont val="Symbol"/>
        <family val="1"/>
        <charset val="2"/>
      </rPr>
      <t>D L(t)</t>
    </r>
  </si>
  <si>
    <r>
      <rPr>
        <b/>
        <sz val="11"/>
        <color theme="1"/>
        <rFont val="Symbol"/>
        <family val="1"/>
        <charset val="2"/>
      </rPr>
      <t>L</t>
    </r>
    <r>
      <rPr>
        <b/>
        <sz val="9.9"/>
        <color theme="1"/>
        <rFont val="Calibri"/>
        <family val="2"/>
      </rPr>
      <t>(t)</t>
    </r>
  </si>
  <si>
    <r>
      <rPr>
        <b/>
        <sz val="11"/>
        <color rgb="FFFF0000"/>
        <rFont val="Symbol"/>
        <family val="1"/>
        <charset val="2"/>
      </rPr>
      <t>l</t>
    </r>
    <r>
      <rPr>
        <b/>
        <sz val="9.9"/>
        <color rgb="FFFF0000"/>
        <rFont val="Calibri"/>
        <family val="2"/>
      </rPr>
      <t>(150)=</t>
    </r>
  </si>
  <si>
    <r>
      <t xml:space="preserve"> K * ( </t>
    </r>
    <r>
      <rPr>
        <b/>
        <sz val="11"/>
        <color theme="1"/>
        <rFont val="Symbol"/>
        <family val="1"/>
        <charset val="2"/>
      </rPr>
      <t xml:space="preserve">D L(t) ) / </t>
    </r>
    <r>
      <rPr>
        <b/>
        <sz val="11"/>
        <color theme="1"/>
        <rFont val="Times New Roman"/>
        <family val="1"/>
      </rPr>
      <t>h</t>
    </r>
  </si>
  <si>
    <r>
      <rPr>
        <b/>
        <sz val="11"/>
        <color rgb="FFFF0000"/>
        <rFont val="Symbol"/>
        <family val="1"/>
        <charset val="2"/>
      </rPr>
      <t>l</t>
    </r>
    <r>
      <rPr>
        <b/>
        <sz val="9.9"/>
        <color rgb="FFFF0000"/>
        <rFont val="Calibri"/>
        <family val="2"/>
      </rPr>
      <t>(50)=</t>
    </r>
  </si>
  <si>
    <r>
      <rPr>
        <b/>
        <sz val="11"/>
        <color rgb="FFFF0000"/>
        <rFont val="Symbol"/>
        <family val="1"/>
        <charset val="2"/>
      </rPr>
      <t>l</t>
    </r>
    <r>
      <rPr>
        <b/>
        <sz val="9.9"/>
        <color rgb="FFFF0000"/>
        <rFont val="Calibri"/>
        <family val="2"/>
      </rPr>
      <t>(600)=</t>
    </r>
  </si>
  <si>
    <t>Estimación del riesgo en tres puntos usando Kernel Epanechnikov</t>
  </si>
  <si>
    <t>t=50 (menor a h=100)</t>
  </si>
  <si>
    <t>t=600 (mayor a 562)</t>
  </si>
  <si>
    <t>t=150 (entre 100 y 562)</t>
  </si>
  <si>
    <t>Ancho de banda h=100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</si>
</sst>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00_);_(* \(#,##0.0000\);_(* &quot;-&quot;??_);_(@_)"/>
    <numFmt numFmtId="166" formatCode="_(* #,##0.00000_);_(* \(#,##0.00000\);_(* &quot;-&quot;??_);_(@_)"/>
    <numFmt numFmtId="167" formatCode="_(* #,##0.0000_);_(* \(#,##0.0000\);_(* &quot;-&quot;????_);_(@_)"/>
    <numFmt numFmtId="168" formatCode="0.00000"/>
    <numFmt numFmtId="169" formatCode="_-* #,##0.0000_-;\-* #,##0.0000_-;_-* &quot;-&quot;??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9.9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Symbol"/>
      <family val="1"/>
      <charset val="2"/>
    </font>
    <font>
      <b/>
      <sz val="9.9"/>
      <color rgb="FFFF0000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166" fontId="0" fillId="0" borderId="0" xfId="1" applyNumberFormat="1" applyFont="1"/>
    <xf numFmtId="0" fontId="2" fillId="0" borderId="0" xfId="0" applyFont="1" applyAlignment="1">
      <alignment horizontal="center"/>
    </xf>
    <xf numFmtId="167" fontId="0" fillId="0" borderId="0" xfId="0" applyNumberFormat="1"/>
    <xf numFmtId="167" fontId="2" fillId="0" borderId="0" xfId="0" applyNumberFormat="1" applyFont="1"/>
    <xf numFmtId="0" fontId="2" fillId="0" borderId="0" xfId="0" applyFont="1"/>
    <xf numFmtId="167" fontId="3" fillId="0" borderId="0" xfId="0" applyNumberFormat="1" applyFont="1"/>
    <xf numFmtId="167" fontId="0" fillId="0" borderId="0" xfId="0" applyNumberFormat="1" applyFont="1"/>
    <xf numFmtId="168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9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Hoja1!$A$4:$A$26</c:f>
              <c:numCache>
                <c:formatCode>General</c:formatCode>
                <c:ptCount val="23"/>
                <c:pt idx="0">
                  <c:v>1</c:v>
                </c:pt>
                <c:pt idx="1">
                  <c:v>55</c:v>
                </c:pt>
                <c:pt idx="2">
                  <c:v>74</c:v>
                </c:pt>
                <c:pt idx="3">
                  <c:v>86</c:v>
                </c:pt>
                <c:pt idx="4">
                  <c:v>104</c:v>
                </c:pt>
                <c:pt idx="5">
                  <c:v>107</c:v>
                </c:pt>
                <c:pt idx="6">
                  <c:v>109</c:v>
                </c:pt>
                <c:pt idx="7">
                  <c:v>110</c:v>
                </c:pt>
                <c:pt idx="8">
                  <c:v>122</c:v>
                </c:pt>
                <c:pt idx="9">
                  <c:v>129</c:v>
                </c:pt>
                <c:pt idx="10">
                  <c:v>172</c:v>
                </c:pt>
                <c:pt idx="11">
                  <c:v>192</c:v>
                </c:pt>
                <c:pt idx="12">
                  <c:v>194</c:v>
                </c:pt>
                <c:pt idx="13">
                  <c:v>230</c:v>
                </c:pt>
                <c:pt idx="14">
                  <c:v>276</c:v>
                </c:pt>
                <c:pt idx="15">
                  <c:v>332</c:v>
                </c:pt>
                <c:pt idx="16">
                  <c:v>383</c:v>
                </c:pt>
                <c:pt idx="17">
                  <c:v>418</c:v>
                </c:pt>
                <c:pt idx="18">
                  <c:v>468</c:v>
                </c:pt>
                <c:pt idx="19">
                  <c:v>487</c:v>
                </c:pt>
                <c:pt idx="20">
                  <c:v>526</c:v>
                </c:pt>
                <c:pt idx="21">
                  <c:v>609</c:v>
                </c:pt>
                <c:pt idx="22">
                  <c:v>662</c:v>
                </c:pt>
              </c:numCache>
            </c:numRef>
          </c:xVal>
          <c:yVal>
            <c:numRef>
              <c:f>Hoja1!$C$4:$C$26</c:f>
              <c:numCache>
                <c:formatCode>General</c:formatCode>
                <c:ptCount val="23"/>
                <c:pt idx="0">
                  <c:v>2.63E-2</c:v>
                </c:pt>
                <c:pt idx="1">
                  <c:v>2.7E-2</c:v>
                </c:pt>
                <c:pt idx="2">
                  <c:v>2.7800000000000005E-2</c:v>
                </c:pt>
                <c:pt idx="3">
                  <c:v>2.86E-2</c:v>
                </c:pt>
                <c:pt idx="4">
                  <c:v>2.9399999999999996E-2</c:v>
                </c:pt>
                <c:pt idx="5">
                  <c:v>3.0299999999999994E-2</c:v>
                </c:pt>
                <c:pt idx="6">
                  <c:v>3.1299999999999994E-2</c:v>
                </c:pt>
                <c:pt idx="7">
                  <c:v>3.2200000000000006E-2</c:v>
                </c:pt>
                <c:pt idx="8">
                  <c:v>6.6699999999999982E-2</c:v>
                </c:pt>
                <c:pt idx="9">
                  <c:v>3.570000000000001E-2</c:v>
                </c:pt>
                <c:pt idx="10">
                  <c:v>3.7000000000000033E-2</c:v>
                </c:pt>
                <c:pt idx="11">
                  <c:v>3.8499999999999979E-2</c:v>
                </c:pt>
                <c:pt idx="12">
                  <c:v>3.999999999999998E-2</c:v>
                </c:pt>
                <c:pt idx="13">
                  <c:v>4.3500000000000039E-2</c:v>
                </c:pt>
                <c:pt idx="14">
                  <c:v>4.539999999999994E-2</c:v>
                </c:pt>
                <c:pt idx="15">
                  <c:v>4.7600000000000087E-2</c:v>
                </c:pt>
                <c:pt idx="16">
                  <c:v>4.9999999999999933E-2</c:v>
                </c:pt>
                <c:pt idx="17">
                  <c:v>5.2699999999999969E-2</c:v>
                </c:pt>
                <c:pt idx="18">
                  <c:v>5.5500000000000105E-2</c:v>
                </c:pt>
                <c:pt idx="19">
                  <c:v>5.8899999999999952E-2</c:v>
                </c:pt>
                <c:pt idx="20">
                  <c:v>6.25E-2</c:v>
                </c:pt>
                <c:pt idx="21">
                  <c:v>7.1400000000000019E-2</c:v>
                </c:pt>
                <c:pt idx="22">
                  <c:v>7.6900000000000079E-2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3E-462C-A04B-361F8B937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9312"/>
        <c:axId val="155204800"/>
      </c:scatterChart>
      <c:valAx>
        <c:axId val="15519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204800"/>
        <c:crosses val="autoZero"/>
        <c:crossBetween val="midCat"/>
      </c:valAx>
      <c:valAx>
        <c:axId val="155204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5199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48683</xdr:colOff>
      <xdr:row>5</xdr:row>
      <xdr:rowOff>173566</xdr:rowOff>
    </xdr:from>
    <xdr:to>
      <xdr:col>21</xdr:col>
      <xdr:colOff>48683</xdr:colOff>
      <xdr:row>20</xdr:row>
      <xdr:rowOff>59266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110" zoomScaleNormal="110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baseColWidth="10" defaultRowHeight="14.5" x14ac:dyDescent="0.35"/>
  <cols>
    <col min="1" max="1" width="5" bestFit="1" customWidth="1"/>
    <col min="2" max="3" width="7.453125" bestFit="1" customWidth="1"/>
    <col min="4" max="4" width="11.81640625" bestFit="1" customWidth="1"/>
    <col min="5" max="5" width="13.7265625" bestFit="1" customWidth="1"/>
    <col min="6" max="6" width="16.54296875" bestFit="1" customWidth="1"/>
    <col min="7" max="7" width="8.453125" bestFit="1" customWidth="1"/>
    <col min="8" max="8" width="10.54296875" customWidth="1"/>
    <col min="9" max="9" width="11.81640625" bestFit="1" customWidth="1"/>
    <col min="10" max="10" width="17.26953125" bestFit="1" customWidth="1"/>
    <col min="11" max="11" width="8.453125" bestFit="1" customWidth="1"/>
    <col min="12" max="12" width="11.81640625" bestFit="1" customWidth="1"/>
    <col min="13" max="13" width="13.7265625" bestFit="1" customWidth="1"/>
    <col min="14" max="14" width="17.26953125" bestFit="1" customWidth="1"/>
    <col min="15" max="15" width="8.453125" bestFit="1" customWidth="1"/>
  </cols>
  <sheetData>
    <row r="1" spans="1:15" x14ac:dyDescent="0.35">
      <c r="B1" t="s">
        <v>21</v>
      </c>
      <c r="H1" s="6" t="s">
        <v>25</v>
      </c>
    </row>
    <row r="2" spans="1:15" x14ac:dyDescent="0.35">
      <c r="D2" s="6" t="s">
        <v>24</v>
      </c>
      <c r="H2" s="6" t="s">
        <v>22</v>
      </c>
      <c r="L2" s="6" t="s">
        <v>23</v>
      </c>
    </row>
    <row r="3" spans="1:15" s="3" customFormat="1" x14ac:dyDescent="0.35">
      <c r="A3" s="3" t="s">
        <v>0</v>
      </c>
      <c r="B3" s="10" t="s">
        <v>16</v>
      </c>
      <c r="C3" s="3" t="s">
        <v>15</v>
      </c>
      <c r="D3" s="3" t="s">
        <v>5</v>
      </c>
      <c r="E3" s="3" t="s">
        <v>6</v>
      </c>
      <c r="F3" s="3" t="s">
        <v>18</v>
      </c>
      <c r="G3" s="11"/>
      <c r="H3" s="3" t="s">
        <v>7</v>
      </c>
      <c r="I3" s="3" t="s">
        <v>10</v>
      </c>
      <c r="J3" s="3" t="s">
        <v>18</v>
      </c>
      <c r="K3" s="11"/>
      <c r="L3" s="3" t="s">
        <v>11</v>
      </c>
      <c r="M3" s="3" t="s">
        <v>12</v>
      </c>
      <c r="N3" s="3" t="s">
        <v>18</v>
      </c>
      <c r="O3" s="11"/>
    </row>
    <row r="4" spans="1:15" x14ac:dyDescent="0.35">
      <c r="A4">
        <v>1</v>
      </c>
      <c r="B4">
        <v>2.63E-2</v>
      </c>
      <c r="C4">
        <f>B4</f>
        <v>2.63E-2</v>
      </c>
      <c r="D4">
        <f>(150-A4)/100</f>
        <v>1.49</v>
      </c>
      <c r="E4" s="1">
        <v>0</v>
      </c>
      <c r="F4" s="4">
        <f t="shared" ref="F4:F17" si="0">E4*C4/100</f>
        <v>0</v>
      </c>
      <c r="G4" s="4"/>
      <c r="H4" s="4">
        <f>(50-A4)/100</f>
        <v>0.49</v>
      </c>
      <c r="I4" s="4">
        <f t="shared" ref="I4:I26" si="1">0.75*(1-H4^2)*($I$31+$I$32*H4)</f>
        <v>1.0618964341085273</v>
      </c>
      <c r="J4" s="4">
        <f t="shared" ref="J4:J13" si="2">I4*C4/100</f>
        <v>2.7927876217054265E-4</v>
      </c>
      <c r="K4" s="4"/>
      <c r="L4" s="4">
        <f>(600-A4)/100</f>
        <v>5.99</v>
      </c>
      <c r="M4" s="4"/>
      <c r="N4" s="4"/>
      <c r="O4" s="4"/>
    </row>
    <row r="5" spans="1:15" x14ac:dyDescent="0.35">
      <c r="A5">
        <v>55</v>
      </c>
      <c r="B5">
        <v>5.33E-2</v>
      </c>
      <c r="C5">
        <f>B5-B4</f>
        <v>2.7E-2</v>
      </c>
      <c r="D5">
        <f t="shared" ref="D5:D26" si="3">(150-A5)/100</f>
        <v>0.95</v>
      </c>
      <c r="E5" s="1">
        <f t="shared" ref="E5:E17" si="4">0.75*(1-D5^2)</f>
        <v>7.3125000000000023E-2</v>
      </c>
      <c r="F5" s="4">
        <f t="shared" si="0"/>
        <v>1.9743750000000006E-5</v>
      </c>
      <c r="G5" s="4"/>
      <c r="H5" s="4">
        <f t="shared" ref="H5:H26" si="5">(50-A5)/100</f>
        <v>-0.05</v>
      </c>
      <c r="I5" s="4">
        <f t="shared" si="1"/>
        <v>0.94852713178294579</v>
      </c>
      <c r="J5" s="4">
        <f t="shared" si="2"/>
        <v>2.5610232558139536E-4</v>
      </c>
      <c r="K5" s="4"/>
      <c r="L5" s="4">
        <f t="shared" ref="L5:L26" si="6">(600-A5)/100</f>
        <v>5.45</v>
      </c>
      <c r="M5" s="4"/>
      <c r="N5" s="4"/>
      <c r="O5" s="4"/>
    </row>
    <row r="6" spans="1:15" x14ac:dyDescent="0.35">
      <c r="A6">
        <v>74</v>
      </c>
      <c r="B6">
        <v>8.1100000000000005E-2</v>
      </c>
      <c r="C6">
        <f t="shared" ref="C6:C26" si="7">B6-B5</f>
        <v>2.7800000000000005E-2</v>
      </c>
      <c r="D6">
        <f t="shared" si="3"/>
        <v>0.76</v>
      </c>
      <c r="E6" s="1">
        <f t="shared" si="4"/>
        <v>0.31679999999999997</v>
      </c>
      <c r="F6" s="4">
        <f t="shared" si="0"/>
        <v>8.8070400000000003E-5</v>
      </c>
      <c r="G6" s="4"/>
      <c r="H6" s="4">
        <f t="shared" si="5"/>
        <v>-0.24</v>
      </c>
      <c r="I6" s="4">
        <f t="shared" si="1"/>
        <v>0.74807565891472871</v>
      </c>
      <c r="J6" s="4">
        <f t="shared" si="2"/>
        <v>2.0796503317829462E-4</v>
      </c>
      <c r="K6" s="4"/>
      <c r="L6" s="4">
        <f t="shared" si="6"/>
        <v>5.26</v>
      </c>
      <c r="M6" s="4"/>
      <c r="N6" s="4"/>
      <c r="O6" s="4"/>
    </row>
    <row r="7" spans="1:15" x14ac:dyDescent="0.35">
      <c r="A7">
        <v>86</v>
      </c>
      <c r="B7">
        <v>0.10970000000000001</v>
      </c>
      <c r="C7">
        <f t="shared" si="7"/>
        <v>2.86E-2</v>
      </c>
      <c r="D7">
        <f t="shared" si="3"/>
        <v>0.64</v>
      </c>
      <c r="E7" s="1">
        <f t="shared" si="4"/>
        <v>0.44280000000000003</v>
      </c>
      <c r="F7" s="4">
        <f t="shared" si="0"/>
        <v>1.2664080000000002E-4</v>
      </c>
      <c r="G7" s="4"/>
      <c r="H7" s="4">
        <f t="shared" si="5"/>
        <v>-0.36</v>
      </c>
      <c r="I7" s="4">
        <f t="shared" si="1"/>
        <v>0.60455689922480627</v>
      </c>
      <c r="J7" s="4">
        <f t="shared" si="2"/>
        <v>1.729032731782946E-4</v>
      </c>
      <c r="K7" s="4"/>
      <c r="L7" s="4">
        <f t="shared" si="6"/>
        <v>5.14</v>
      </c>
      <c r="M7" s="4"/>
      <c r="N7" s="4"/>
      <c r="O7" s="4"/>
    </row>
    <row r="8" spans="1:15" x14ac:dyDescent="0.35">
      <c r="A8">
        <v>104</v>
      </c>
      <c r="B8">
        <v>0.1391</v>
      </c>
      <c r="C8">
        <f t="shared" si="7"/>
        <v>2.9399999999999996E-2</v>
      </c>
      <c r="D8">
        <f t="shared" si="3"/>
        <v>0.46</v>
      </c>
      <c r="E8" s="1">
        <f t="shared" si="4"/>
        <v>0.59129999999999994</v>
      </c>
      <c r="F8" s="4">
        <f t="shared" si="0"/>
        <v>1.7384219999999997E-4</v>
      </c>
      <c r="G8" s="4"/>
      <c r="H8" s="4">
        <f t="shared" si="5"/>
        <v>-0.54</v>
      </c>
      <c r="I8" s="4">
        <f t="shared" si="1"/>
        <v>0.38659968992248051</v>
      </c>
      <c r="J8" s="4">
        <f t="shared" si="2"/>
        <v>1.1366030883720926E-4</v>
      </c>
      <c r="K8" s="4"/>
      <c r="L8" s="4">
        <f t="shared" si="6"/>
        <v>4.96</v>
      </c>
      <c r="M8" s="4"/>
      <c r="N8" s="4"/>
      <c r="O8" s="4"/>
    </row>
    <row r="9" spans="1:15" x14ac:dyDescent="0.35">
      <c r="A9">
        <v>107</v>
      </c>
      <c r="B9">
        <v>0.1694</v>
      </c>
      <c r="C9">
        <f t="shared" si="7"/>
        <v>3.0299999999999994E-2</v>
      </c>
      <c r="D9">
        <f t="shared" si="3"/>
        <v>0.43</v>
      </c>
      <c r="E9" s="1">
        <f t="shared" si="4"/>
        <v>0.61132500000000001</v>
      </c>
      <c r="F9" s="4">
        <f t="shared" si="0"/>
        <v>1.8523147499999997E-4</v>
      </c>
      <c r="G9" s="4"/>
      <c r="H9" s="4">
        <f t="shared" si="5"/>
        <v>-0.56999999999999995</v>
      </c>
      <c r="I9" s="4">
        <f t="shared" si="1"/>
        <v>0.35168000000000005</v>
      </c>
      <c r="J9" s="4">
        <f t="shared" si="2"/>
        <v>1.0655904E-4</v>
      </c>
      <c r="K9" s="4"/>
      <c r="L9" s="4">
        <f t="shared" si="6"/>
        <v>4.93</v>
      </c>
      <c r="M9" s="4"/>
      <c r="N9" s="4"/>
      <c r="O9" s="4"/>
    </row>
    <row r="10" spans="1:15" x14ac:dyDescent="0.35">
      <c r="A10">
        <v>109</v>
      </c>
      <c r="B10">
        <v>0.20069999999999999</v>
      </c>
      <c r="C10">
        <f t="shared" si="7"/>
        <v>3.1299999999999994E-2</v>
      </c>
      <c r="D10">
        <f t="shared" si="3"/>
        <v>0.41</v>
      </c>
      <c r="E10" s="1">
        <f t="shared" si="4"/>
        <v>0.62392500000000006</v>
      </c>
      <c r="F10" s="4">
        <f t="shared" si="0"/>
        <v>1.9528852499999999E-4</v>
      </c>
      <c r="G10" s="4"/>
      <c r="H10" s="4">
        <f t="shared" si="5"/>
        <v>-0.59</v>
      </c>
      <c r="I10" s="4">
        <f t="shared" si="1"/>
        <v>0.32881364341085273</v>
      </c>
      <c r="J10" s="4">
        <f t="shared" si="2"/>
        <v>1.0291867038759688E-4</v>
      </c>
      <c r="K10" s="4"/>
      <c r="L10" s="4">
        <f t="shared" si="6"/>
        <v>4.91</v>
      </c>
      <c r="M10" s="4"/>
      <c r="N10" s="4"/>
      <c r="O10" s="4"/>
    </row>
    <row r="11" spans="1:15" x14ac:dyDescent="0.35">
      <c r="A11">
        <v>110</v>
      </c>
      <c r="B11">
        <v>0.2329</v>
      </c>
      <c r="C11">
        <f t="shared" si="7"/>
        <v>3.2200000000000006E-2</v>
      </c>
      <c r="D11">
        <f t="shared" si="3"/>
        <v>0.4</v>
      </c>
      <c r="E11" s="1">
        <f t="shared" si="4"/>
        <v>0.63</v>
      </c>
      <c r="F11" s="4">
        <f t="shared" si="0"/>
        <v>2.0286000000000005E-4</v>
      </c>
      <c r="G11" s="4"/>
      <c r="H11" s="4">
        <f t="shared" si="5"/>
        <v>-0.6</v>
      </c>
      <c r="I11" s="4">
        <f t="shared" si="1"/>
        <v>0.31751937984496126</v>
      </c>
      <c r="J11" s="4">
        <f t="shared" si="2"/>
        <v>1.0224124031007754E-4</v>
      </c>
      <c r="K11" s="4"/>
      <c r="L11" s="4">
        <f t="shared" si="6"/>
        <v>4.9000000000000004</v>
      </c>
      <c r="M11" s="4"/>
      <c r="N11" s="4"/>
      <c r="O11" s="4"/>
    </row>
    <row r="12" spans="1:15" x14ac:dyDescent="0.35">
      <c r="A12">
        <v>122</v>
      </c>
      <c r="B12">
        <v>0.29959999999999998</v>
      </c>
      <c r="C12">
        <f>B12-B11</f>
        <v>6.6699999999999982E-2</v>
      </c>
      <c r="D12">
        <f t="shared" si="3"/>
        <v>0.28000000000000003</v>
      </c>
      <c r="E12" s="1">
        <f t="shared" si="4"/>
        <v>0.69120000000000004</v>
      </c>
      <c r="F12" s="4">
        <f t="shared" si="0"/>
        <v>4.6103039999999989E-4</v>
      </c>
      <c r="G12" s="4"/>
      <c r="H12" s="4">
        <f t="shared" si="5"/>
        <v>-0.72</v>
      </c>
      <c r="I12" s="4">
        <f t="shared" si="1"/>
        <v>0.19114666666666671</v>
      </c>
      <c r="J12" s="4">
        <f t="shared" si="2"/>
        <v>1.2749482666666665E-4</v>
      </c>
      <c r="K12" s="4"/>
      <c r="L12" s="4">
        <f t="shared" si="6"/>
        <v>4.78</v>
      </c>
      <c r="M12" s="4"/>
      <c r="N12" s="4"/>
      <c r="O12" s="4"/>
    </row>
    <row r="13" spans="1:15" x14ac:dyDescent="0.35">
      <c r="A13">
        <v>129</v>
      </c>
      <c r="B13">
        <v>0.33529999999999999</v>
      </c>
      <c r="C13">
        <f t="shared" si="7"/>
        <v>3.570000000000001E-2</v>
      </c>
      <c r="D13">
        <f t="shared" si="3"/>
        <v>0.21</v>
      </c>
      <c r="E13" s="1">
        <f t="shared" si="4"/>
        <v>0.71692500000000003</v>
      </c>
      <c r="F13" s="4">
        <f t="shared" si="0"/>
        <v>2.5594222500000007E-4</v>
      </c>
      <c r="G13" s="4"/>
      <c r="H13" s="8">
        <f t="shared" si="5"/>
        <v>-0.79</v>
      </c>
      <c r="I13" s="4">
        <f t="shared" si="1"/>
        <v>0.12743689922480614</v>
      </c>
      <c r="J13" s="4">
        <f t="shared" si="2"/>
        <v>4.5494973023255801E-5</v>
      </c>
      <c r="K13" s="7"/>
      <c r="L13" s="4">
        <f t="shared" si="6"/>
        <v>4.71</v>
      </c>
      <c r="M13" s="4"/>
      <c r="N13" s="4"/>
      <c r="O13" s="5"/>
    </row>
    <row r="14" spans="1:15" x14ac:dyDescent="0.35">
      <c r="A14">
        <v>172</v>
      </c>
      <c r="B14">
        <v>0.37230000000000002</v>
      </c>
      <c r="C14">
        <f t="shared" si="7"/>
        <v>3.7000000000000033E-2</v>
      </c>
      <c r="D14">
        <f t="shared" si="3"/>
        <v>-0.22</v>
      </c>
      <c r="E14" s="1">
        <f t="shared" si="4"/>
        <v>0.7137</v>
      </c>
      <c r="F14" s="4">
        <f t="shared" si="0"/>
        <v>2.6406900000000024E-4</v>
      </c>
      <c r="G14" s="4"/>
      <c r="H14" s="4">
        <f t="shared" si="5"/>
        <v>-1.22</v>
      </c>
      <c r="I14" s="4"/>
      <c r="J14" s="4"/>
      <c r="K14" s="4"/>
      <c r="L14" s="4">
        <f t="shared" si="6"/>
        <v>4.28</v>
      </c>
      <c r="M14" s="4"/>
      <c r="N14" s="4"/>
      <c r="O14" s="4"/>
    </row>
    <row r="15" spans="1:15" x14ac:dyDescent="0.35">
      <c r="A15">
        <v>192</v>
      </c>
      <c r="B15">
        <v>0.4108</v>
      </c>
      <c r="C15">
        <f t="shared" si="7"/>
        <v>3.8499999999999979E-2</v>
      </c>
      <c r="D15">
        <f t="shared" si="3"/>
        <v>-0.42</v>
      </c>
      <c r="E15" s="1">
        <f t="shared" si="4"/>
        <v>0.61770000000000003</v>
      </c>
      <c r="F15" s="4">
        <f t="shared" si="0"/>
        <v>2.3781449999999988E-4</v>
      </c>
      <c r="G15" s="4"/>
      <c r="H15" s="4">
        <f t="shared" si="5"/>
        <v>-1.42</v>
      </c>
      <c r="I15" s="4"/>
      <c r="J15" s="4"/>
      <c r="K15" s="4"/>
      <c r="L15" s="4">
        <f t="shared" si="6"/>
        <v>4.08</v>
      </c>
      <c r="M15" s="4"/>
      <c r="N15" s="4"/>
      <c r="O15" s="4"/>
    </row>
    <row r="16" spans="1:15" x14ac:dyDescent="0.35">
      <c r="A16">
        <v>194</v>
      </c>
      <c r="B16">
        <v>0.45079999999999998</v>
      </c>
      <c r="C16">
        <f t="shared" si="7"/>
        <v>3.999999999999998E-2</v>
      </c>
      <c r="D16">
        <f t="shared" si="3"/>
        <v>-0.44</v>
      </c>
      <c r="E16" s="1">
        <f t="shared" si="4"/>
        <v>0.6048</v>
      </c>
      <c r="F16" s="4">
        <f t="shared" si="0"/>
        <v>2.4191999999999988E-4</v>
      </c>
      <c r="G16" s="4"/>
      <c r="H16" s="4">
        <f t="shared" si="5"/>
        <v>-1.44</v>
      </c>
      <c r="I16" s="4"/>
      <c r="J16" s="4"/>
      <c r="K16" s="4"/>
      <c r="L16" s="4">
        <f t="shared" si="6"/>
        <v>4.0599999999999996</v>
      </c>
      <c r="M16" s="4"/>
      <c r="N16" s="4"/>
      <c r="O16" s="4"/>
    </row>
    <row r="17" spans="1:15" x14ac:dyDescent="0.35">
      <c r="A17">
        <v>230</v>
      </c>
      <c r="B17">
        <v>0.49430000000000002</v>
      </c>
      <c r="C17">
        <f t="shared" si="7"/>
        <v>4.3500000000000039E-2</v>
      </c>
      <c r="D17">
        <f t="shared" si="3"/>
        <v>-0.8</v>
      </c>
      <c r="E17" s="1">
        <f t="shared" si="4"/>
        <v>0.26999999999999991</v>
      </c>
      <c r="F17" s="4">
        <f t="shared" si="0"/>
        <v>1.1745000000000008E-4</v>
      </c>
      <c r="G17" s="7"/>
      <c r="H17" s="4">
        <f t="shared" si="5"/>
        <v>-1.8</v>
      </c>
      <c r="I17" s="4"/>
      <c r="J17" s="4"/>
      <c r="K17" s="4"/>
      <c r="L17" s="4">
        <f t="shared" si="6"/>
        <v>3.7</v>
      </c>
      <c r="M17" s="4"/>
      <c r="N17" s="4"/>
      <c r="O17" s="4"/>
    </row>
    <row r="18" spans="1:15" x14ac:dyDescent="0.35">
      <c r="A18">
        <v>276</v>
      </c>
      <c r="B18">
        <v>0.53969999999999996</v>
      </c>
      <c r="C18">
        <f t="shared" si="7"/>
        <v>4.539999999999994E-2</v>
      </c>
      <c r="D18">
        <f t="shared" si="3"/>
        <v>-1.26</v>
      </c>
      <c r="E18" s="1"/>
      <c r="G18" s="4"/>
      <c r="H18" s="4">
        <f t="shared" si="5"/>
        <v>-2.2599999999999998</v>
      </c>
      <c r="I18" s="4"/>
      <c r="J18" s="4"/>
      <c r="K18" s="4"/>
      <c r="L18" s="4">
        <f t="shared" si="6"/>
        <v>3.24</v>
      </c>
      <c r="M18" s="4"/>
      <c r="N18" s="4"/>
      <c r="O18" s="4"/>
    </row>
    <row r="19" spans="1:15" x14ac:dyDescent="0.35">
      <c r="A19">
        <v>332</v>
      </c>
      <c r="B19">
        <v>0.58730000000000004</v>
      </c>
      <c r="C19">
        <f t="shared" si="7"/>
        <v>4.7600000000000087E-2</v>
      </c>
      <c r="D19">
        <f t="shared" si="3"/>
        <v>-1.82</v>
      </c>
      <c r="E19" s="1"/>
      <c r="F19" s="4"/>
      <c r="G19" s="4"/>
      <c r="H19" s="4">
        <f t="shared" si="5"/>
        <v>-2.82</v>
      </c>
      <c r="I19" s="4"/>
      <c r="J19" s="4"/>
      <c r="K19" s="4"/>
      <c r="L19" s="4">
        <f t="shared" si="6"/>
        <v>2.68</v>
      </c>
      <c r="M19" s="4"/>
      <c r="N19" s="4"/>
      <c r="O19" s="4"/>
    </row>
    <row r="20" spans="1:15" x14ac:dyDescent="0.35">
      <c r="A20">
        <v>383</v>
      </c>
      <c r="B20">
        <v>0.63729999999999998</v>
      </c>
      <c r="C20">
        <f t="shared" si="7"/>
        <v>4.9999999999999933E-2</v>
      </c>
      <c r="D20">
        <f t="shared" si="3"/>
        <v>-2.33</v>
      </c>
      <c r="E20" s="1"/>
      <c r="F20" s="4"/>
      <c r="G20" s="4"/>
      <c r="H20" s="4">
        <f t="shared" si="5"/>
        <v>-3.33</v>
      </c>
      <c r="I20" s="4"/>
      <c r="J20" s="4"/>
      <c r="K20" s="4"/>
      <c r="L20" s="4">
        <f t="shared" si="6"/>
        <v>2.17</v>
      </c>
      <c r="M20" s="4"/>
      <c r="N20" s="4"/>
      <c r="O20" s="4"/>
    </row>
    <row r="21" spans="1:15" x14ac:dyDescent="0.35">
      <c r="A21">
        <v>418</v>
      </c>
      <c r="B21">
        <v>0.69</v>
      </c>
      <c r="C21">
        <f t="shared" si="7"/>
        <v>5.2699999999999969E-2</v>
      </c>
      <c r="D21">
        <f t="shared" si="3"/>
        <v>-2.68</v>
      </c>
      <c r="E21" s="1"/>
      <c r="F21" s="4"/>
      <c r="G21" s="4"/>
      <c r="H21" s="4">
        <f t="shared" si="5"/>
        <v>-3.68</v>
      </c>
      <c r="I21" s="4"/>
      <c r="J21" s="4"/>
      <c r="K21" s="4"/>
      <c r="L21" s="4">
        <f t="shared" si="6"/>
        <v>1.82</v>
      </c>
      <c r="M21" s="4"/>
      <c r="N21" s="4"/>
      <c r="O21" s="4"/>
    </row>
    <row r="22" spans="1:15" x14ac:dyDescent="0.35">
      <c r="A22">
        <v>468</v>
      </c>
      <c r="B22">
        <v>0.74550000000000005</v>
      </c>
      <c r="C22">
        <f t="shared" si="7"/>
        <v>5.5500000000000105E-2</v>
      </c>
      <c r="D22">
        <f t="shared" si="3"/>
        <v>-3.18</v>
      </c>
      <c r="E22" s="1"/>
      <c r="F22" s="4"/>
      <c r="G22" s="4"/>
      <c r="H22" s="4">
        <f t="shared" si="5"/>
        <v>-4.18</v>
      </c>
      <c r="I22" s="4"/>
      <c r="J22" s="4"/>
      <c r="K22" s="4"/>
      <c r="L22" s="4">
        <f t="shared" si="6"/>
        <v>1.32</v>
      </c>
      <c r="M22" s="4"/>
      <c r="N22" s="4"/>
      <c r="O22" s="4"/>
    </row>
    <row r="23" spans="1:15" x14ac:dyDescent="0.35">
      <c r="A23">
        <v>487</v>
      </c>
      <c r="B23">
        <v>0.8044</v>
      </c>
      <c r="C23">
        <f t="shared" si="7"/>
        <v>5.8899999999999952E-2</v>
      </c>
      <c r="D23">
        <f t="shared" si="3"/>
        <v>-3.37</v>
      </c>
      <c r="E23" s="1"/>
      <c r="F23" s="4"/>
      <c r="G23" s="4"/>
      <c r="H23" s="4">
        <f t="shared" si="5"/>
        <v>-4.37</v>
      </c>
      <c r="I23" s="4"/>
      <c r="J23" s="4"/>
      <c r="K23" s="4"/>
      <c r="L23" s="4">
        <f t="shared" si="6"/>
        <v>1.1299999999999999</v>
      </c>
      <c r="M23" s="4"/>
      <c r="N23" s="4"/>
      <c r="O23" s="4"/>
    </row>
    <row r="24" spans="1:15" x14ac:dyDescent="0.35">
      <c r="A24">
        <v>526</v>
      </c>
      <c r="B24">
        <v>0.8669</v>
      </c>
      <c r="C24">
        <f t="shared" si="7"/>
        <v>6.25E-2</v>
      </c>
      <c r="D24">
        <f t="shared" si="3"/>
        <v>-3.76</v>
      </c>
      <c r="E24" s="1"/>
      <c r="F24" s="4"/>
      <c r="G24" s="4"/>
      <c r="H24" s="4">
        <f t="shared" si="5"/>
        <v>-4.76</v>
      </c>
      <c r="I24" s="4"/>
      <c r="J24" s="4"/>
      <c r="K24" s="4"/>
      <c r="L24" s="4">
        <f t="shared" si="6"/>
        <v>0.74</v>
      </c>
      <c r="M24" s="4">
        <f>0.75*(1-L24^2)*($M$31+$M$32*(-L24))</f>
        <v>0.24916067890657584</v>
      </c>
      <c r="N24" s="4">
        <f>M24*C24/100</f>
        <v>1.557254243166099E-4</v>
      </c>
      <c r="O24" s="4"/>
    </row>
    <row r="25" spans="1:15" x14ac:dyDescent="0.35">
      <c r="A25">
        <v>609</v>
      </c>
      <c r="B25">
        <v>0.93830000000000002</v>
      </c>
      <c r="C25">
        <f t="shared" si="7"/>
        <v>7.1400000000000019E-2</v>
      </c>
      <c r="D25">
        <f t="shared" si="3"/>
        <v>-4.59</v>
      </c>
      <c r="E25" s="1"/>
      <c r="F25" s="4"/>
      <c r="G25" s="4"/>
      <c r="H25" s="4">
        <f t="shared" si="5"/>
        <v>-5.59</v>
      </c>
      <c r="I25" s="4"/>
      <c r="J25" s="4"/>
      <c r="K25" s="4"/>
      <c r="L25" s="4">
        <f t="shared" si="6"/>
        <v>-0.09</v>
      </c>
      <c r="M25" s="4">
        <f>0.75*(1-L25^2)*($M$31+$M$32*(-L25))</f>
        <v>0.89176276843483782</v>
      </c>
      <c r="N25" s="4">
        <f>M25*C25/100</f>
        <v>6.3671861666247443E-4</v>
      </c>
      <c r="O25" s="4"/>
    </row>
    <row r="26" spans="1:15" x14ac:dyDescent="0.35">
      <c r="A26">
        <v>662</v>
      </c>
      <c r="B26">
        <v>1.0152000000000001</v>
      </c>
      <c r="C26">
        <f t="shared" si="7"/>
        <v>7.6900000000000079E-2</v>
      </c>
      <c r="D26">
        <f t="shared" si="3"/>
        <v>-5.12</v>
      </c>
      <c r="E26" s="1"/>
      <c r="F26" s="4"/>
      <c r="G26" s="4"/>
      <c r="H26" s="4">
        <f t="shared" si="5"/>
        <v>-6.12</v>
      </c>
      <c r="I26" s="4"/>
      <c r="J26" s="4"/>
      <c r="K26" s="4"/>
      <c r="L26" s="4">
        <f t="shared" si="6"/>
        <v>-0.62</v>
      </c>
      <c r="M26" s="4">
        <f>0.75*(1-L26^2)*($M$31+$M$32*(-L26))</f>
        <v>0.690363603686866</v>
      </c>
      <c r="N26" s="4">
        <f>M26*C26/100</f>
        <v>5.3088961123520058E-4</v>
      </c>
      <c r="O26" s="7"/>
    </row>
    <row r="27" spans="1:15" x14ac:dyDescent="0.35">
      <c r="E27" s="1"/>
      <c r="F27" s="4"/>
      <c r="G27" s="4"/>
      <c r="H27" s="4"/>
      <c r="I27" s="4"/>
      <c r="J27" s="4"/>
      <c r="K27" s="4"/>
      <c r="L27" s="4"/>
      <c r="M27" s="4"/>
      <c r="N27" s="4"/>
      <c r="O27" s="7"/>
    </row>
    <row r="28" spans="1:15" x14ac:dyDescent="0.35">
      <c r="E28" s="11" t="s">
        <v>17</v>
      </c>
      <c r="F28" s="7">
        <f>SUM(F5:F17)</f>
        <v>2.5699032750000008E-3</v>
      </c>
      <c r="G28" s="4"/>
      <c r="H28" s="4"/>
      <c r="I28" s="11" t="s">
        <v>19</v>
      </c>
      <c r="J28" s="7">
        <f>SUM(J4:J17)</f>
        <v>1.5146184533333332E-3</v>
      </c>
      <c r="K28" s="4"/>
      <c r="L28" s="4"/>
      <c r="M28" s="11" t="s">
        <v>20</v>
      </c>
      <c r="N28" s="7">
        <f>SUM(N24:N26)</f>
        <v>1.3233336522142849E-3</v>
      </c>
      <c r="O28" s="5"/>
    </row>
    <row r="29" spans="1:15" x14ac:dyDescent="0.35">
      <c r="G29" s="4"/>
      <c r="N29" s="4"/>
      <c r="O29" s="4"/>
    </row>
    <row r="30" spans="1:15" x14ac:dyDescent="0.35">
      <c r="H30" s="5" t="s">
        <v>14</v>
      </c>
      <c r="I30" s="5">
        <f>50/100</f>
        <v>0.5</v>
      </c>
      <c r="J30" s="4"/>
      <c r="K30" s="4"/>
      <c r="L30" s="5" t="s">
        <v>14</v>
      </c>
      <c r="M30" s="5">
        <f>(662-600)/100</f>
        <v>0.62</v>
      </c>
    </row>
    <row r="31" spans="1:15" x14ac:dyDescent="0.35">
      <c r="H31" s="6" t="s">
        <v>8</v>
      </c>
      <c r="I31" s="12">
        <f>64*(2-4*I30+6*I30^2-3*I30^3)/((1+I30)^4*(19-18*I30+3*I30^2))</f>
        <v>1.3229974160206719</v>
      </c>
      <c r="L31" s="6" t="s">
        <v>13</v>
      </c>
      <c r="M31" s="12">
        <f>64*(2-4*M30+6*M30^2-3*M30^3)/((1+M30)^4*(19-18*M30+3*M30^2))</f>
        <v>1.1483712431953219</v>
      </c>
    </row>
    <row r="32" spans="1:15" x14ac:dyDescent="0.35">
      <c r="H32" s="6" t="s">
        <v>9</v>
      </c>
      <c r="I32" s="12">
        <f>240*(1-I30)^2/((1+I30)^4*(19-18*I30+3*I30^2))</f>
        <v>1.1024978466838933</v>
      </c>
      <c r="L32" s="6"/>
      <c r="M32" s="12">
        <f>240*(1-M30)^2/((1+M30)^4*(19-18*M30+3*M30^2))</f>
        <v>0.55950519714514346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C4" sqref="C4"/>
    </sheetView>
  </sheetViews>
  <sheetFormatPr baseColWidth="10" defaultRowHeight="14.5" x14ac:dyDescent="0.35"/>
  <cols>
    <col min="1" max="1" width="5" bestFit="1" customWidth="1"/>
    <col min="2" max="2" width="7.453125" bestFit="1" customWidth="1"/>
    <col min="3" max="3" width="11.81640625" bestFit="1" customWidth="1"/>
    <col min="4" max="4" width="10.81640625" customWidth="1"/>
    <col min="5" max="5" width="11.816406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x14ac:dyDescent="0.35">
      <c r="A2">
        <v>1</v>
      </c>
      <c r="B2">
        <v>2.63E-2</v>
      </c>
      <c r="C2">
        <v>2.63E-2</v>
      </c>
      <c r="D2" s="9">
        <f>C2^2</f>
        <v>6.9169000000000001E-4</v>
      </c>
      <c r="E2" s="2">
        <f>D2</f>
        <v>6.9169000000000001E-4</v>
      </c>
    </row>
    <row r="3" spans="1:5" x14ac:dyDescent="0.35">
      <c r="A3">
        <v>55</v>
      </c>
      <c r="B3">
        <v>5.33E-2</v>
      </c>
      <c r="C3">
        <v>3.7699999999999997E-2</v>
      </c>
      <c r="D3" s="9">
        <f t="shared" ref="D3:D24" si="0">C3^2</f>
        <v>1.4212899999999997E-3</v>
      </c>
      <c r="E3" s="2">
        <f t="shared" ref="E3:E24" si="1">D3-D2</f>
        <v>7.2959999999999974E-4</v>
      </c>
    </row>
    <row r="4" spans="1:5" x14ac:dyDescent="0.35">
      <c r="A4">
        <v>74</v>
      </c>
      <c r="B4">
        <v>8.1100000000000005E-2</v>
      </c>
      <c r="C4">
        <v>4.6800000000000001E-2</v>
      </c>
      <c r="D4" s="9">
        <f t="shared" si="0"/>
        <v>2.19024E-3</v>
      </c>
      <c r="E4" s="2">
        <f t="shared" si="1"/>
        <v>7.6895000000000023E-4</v>
      </c>
    </row>
    <row r="5" spans="1:5" x14ac:dyDescent="0.35">
      <c r="A5">
        <v>86</v>
      </c>
      <c r="B5">
        <v>0.10970000000000001</v>
      </c>
      <c r="C5">
        <v>5.4899999999999997E-2</v>
      </c>
      <c r="D5" s="9">
        <f t="shared" si="0"/>
        <v>3.0140099999999997E-3</v>
      </c>
      <c r="E5" s="2">
        <f t="shared" si="1"/>
        <v>8.2376999999999971E-4</v>
      </c>
    </row>
    <row r="6" spans="1:5" x14ac:dyDescent="0.35">
      <c r="A6">
        <v>104</v>
      </c>
      <c r="B6">
        <v>0.1391</v>
      </c>
      <c r="C6">
        <v>6.2300000000000001E-2</v>
      </c>
      <c r="D6" s="9">
        <f t="shared" si="0"/>
        <v>3.8812900000000003E-3</v>
      </c>
      <c r="E6" s="2">
        <f t="shared" si="1"/>
        <v>8.6728000000000065E-4</v>
      </c>
    </row>
    <row r="7" spans="1:5" x14ac:dyDescent="0.35">
      <c r="A7">
        <v>107</v>
      </c>
      <c r="B7">
        <v>0.1694</v>
      </c>
      <c r="C7">
        <v>6.9199999999999998E-2</v>
      </c>
      <c r="D7" s="9">
        <f t="shared" si="0"/>
        <v>4.7886399999999994E-3</v>
      </c>
      <c r="E7" s="2">
        <f t="shared" si="1"/>
        <v>9.0734999999999904E-4</v>
      </c>
    </row>
    <row r="8" spans="1:5" x14ac:dyDescent="0.35">
      <c r="A8">
        <v>109</v>
      </c>
      <c r="B8">
        <v>0.20069999999999999</v>
      </c>
      <c r="C8">
        <v>7.5999999999999998E-2</v>
      </c>
      <c r="D8" s="9">
        <f t="shared" si="0"/>
        <v>5.7759999999999999E-3</v>
      </c>
      <c r="E8" s="2">
        <f t="shared" si="1"/>
        <v>9.8736000000000049E-4</v>
      </c>
    </row>
    <row r="9" spans="1:5" x14ac:dyDescent="0.35">
      <c r="A9">
        <v>110</v>
      </c>
      <c r="B9">
        <v>0.2329</v>
      </c>
      <c r="C9">
        <v>8.2500000000000004E-2</v>
      </c>
      <c r="D9" s="9">
        <f t="shared" si="0"/>
        <v>6.8062500000000007E-3</v>
      </c>
      <c r="E9" s="2">
        <f t="shared" si="1"/>
        <v>1.0302500000000008E-3</v>
      </c>
    </row>
    <row r="10" spans="1:5" x14ac:dyDescent="0.35">
      <c r="A10">
        <v>122</v>
      </c>
      <c r="B10">
        <v>0.29959999999999998</v>
      </c>
      <c r="C10">
        <v>9.5000000000000001E-2</v>
      </c>
      <c r="D10" s="9">
        <f t="shared" si="0"/>
        <v>9.025E-3</v>
      </c>
      <c r="E10" s="2">
        <f t="shared" si="1"/>
        <v>2.2187499999999994E-3</v>
      </c>
    </row>
    <row r="11" spans="1:5" x14ac:dyDescent="0.35">
      <c r="A11">
        <v>129</v>
      </c>
      <c r="B11">
        <v>0.33529999999999999</v>
      </c>
      <c r="C11">
        <v>0.10150000000000001</v>
      </c>
      <c r="D11" s="9">
        <f t="shared" si="0"/>
        <v>1.0302250000000001E-2</v>
      </c>
      <c r="E11" s="2">
        <f t="shared" si="1"/>
        <v>1.2772500000000006E-3</v>
      </c>
    </row>
    <row r="12" spans="1:5" x14ac:dyDescent="0.35">
      <c r="A12">
        <v>172</v>
      </c>
      <c r="B12">
        <v>0.37230000000000002</v>
      </c>
      <c r="C12">
        <v>0.1081</v>
      </c>
      <c r="D12" s="9">
        <f t="shared" si="0"/>
        <v>1.1685610000000001E-2</v>
      </c>
      <c r="E12" s="2">
        <f t="shared" si="1"/>
        <v>1.3833600000000001E-3</v>
      </c>
    </row>
    <row r="13" spans="1:5" x14ac:dyDescent="0.35">
      <c r="A13">
        <v>192</v>
      </c>
      <c r="B13">
        <v>0.4108</v>
      </c>
      <c r="C13">
        <v>0.1147</v>
      </c>
      <c r="D13" s="9">
        <f t="shared" si="0"/>
        <v>1.3156089999999999E-2</v>
      </c>
      <c r="E13" s="2">
        <f t="shared" si="1"/>
        <v>1.470479999999998E-3</v>
      </c>
    </row>
    <row r="14" spans="1:5" x14ac:dyDescent="0.35">
      <c r="A14">
        <v>194</v>
      </c>
      <c r="B14">
        <v>0.45079999999999998</v>
      </c>
      <c r="C14">
        <v>0.1215</v>
      </c>
      <c r="D14" s="9">
        <f t="shared" si="0"/>
        <v>1.4762249999999999E-2</v>
      </c>
      <c r="E14" s="2">
        <f t="shared" si="1"/>
        <v>1.6061600000000006E-3</v>
      </c>
    </row>
    <row r="15" spans="1:5" x14ac:dyDescent="0.35">
      <c r="A15">
        <v>230</v>
      </c>
      <c r="B15">
        <v>0.49430000000000002</v>
      </c>
      <c r="C15">
        <v>0.129</v>
      </c>
      <c r="D15" s="9">
        <f t="shared" si="0"/>
        <v>1.6641E-2</v>
      </c>
      <c r="E15" s="2">
        <f t="shared" si="1"/>
        <v>1.8787500000000002E-3</v>
      </c>
    </row>
    <row r="16" spans="1:5" x14ac:dyDescent="0.35">
      <c r="A16">
        <v>276</v>
      </c>
      <c r="B16">
        <v>0.53969999999999996</v>
      </c>
      <c r="C16">
        <v>0.1368</v>
      </c>
      <c r="D16" s="9">
        <f t="shared" si="0"/>
        <v>1.871424E-2</v>
      </c>
      <c r="E16" s="2">
        <f t="shared" si="1"/>
        <v>2.0732400000000005E-3</v>
      </c>
    </row>
    <row r="17" spans="1:5" x14ac:dyDescent="0.35">
      <c r="A17">
        <v>332</v>
      </c>
      <c r="B17">
        <v>0.58730000000000004</v>
      </c>
      <c r="C17">
        <v>0.1449</v>
      </c>
      <c r="D17" s="9">
        <f t="shared" si="0"/>
        <v>2.0996009999999999E-2</v>
      </c>
      <c r="E17" s="2">
        <f t="shared" si="1"/>
        <v>2.2817699999999989E-3</v>
      </c>
    </row>
    <row r="18" spans="1:5" x14ac:dyDescent="0.35">
      <c r="A18">
        <v>383</v>
      </c>
      <c r="B18">
        <v>0.63729999999999998</v>
      </c>
      <c r="C18">
        <v>0.1532</v>
      </c>
      <c r="D18" s="9">
        <f t="shared" si="0"/>
        <v>2.347024E-2</v>
      </c>
      <c r="E18" s="2">
        <f t="shared" si="1"/>
        <v>2.4742300000000009E-3</v>
      </c>
    </row>
    <row r="19" spans="1:5" x14ac:dyDescent="0.35">
      <c r="A19">
        <v>418</v>
      </c>
      <c r="B19">
        <v>0.69</v>
      </c>
      <c r="C19">
        <v>0.16200000000000001</v>
      </c>
      <c r="D19" s="9">
        <f t="shared" si="0"/>
        <v>2.6244E-2</v>
      </c>
      <c r="E19" s="2">
        <f t="shared" si="1"/>
        <v>2.7737600000000001E-3</v>
      </c>
    </row>
    <row r="20" spans="1:5" x14ac:dyDescent="0.35">
      <c r="A20">
        <v>468</v>
      </c>
      <c r="B20">
        <v>0.74550000000000005</v>
      </c>
      <c r="C20">
        <v>0.17130000000000001</v>
      </c>
      <c r="D20" s="9">
        <f t="shared" si="0"/>
        <v>2.9343690000000002E-2</v>
      </c>
      <c r="E20" s="2">
        <f t="shared" si="1"/>
        <v>3.0996900000000022E-3</v>
      </c>
    </row>
    <row r="21" spans="1:5" x14ac:dyDescent="0.35">
      <c r="A21">
        <v>487</v>
      </c>
      <c r="B21">
        <v>0.8044</v>
      </c>
      <c r="C21">
        <v>0.18110000000000001</v>
      </c>
      <c r="D21" s="9">
        <f t="shared" si="0"/>
        <v>3.2797210000000007E-2</v>
      </c>
      <c r="E21" s="2">
        <f t="shared" si="1"/>
        <v>3.4535200000000051E-3</v>
      </c>
    </row>
    <row r="22" spans="1:5" x14ac:dyDescent="0.35">
      <c r="A22">
        <v>526</v>
      </c>
      <c r="B22">
        <v>0.8669</v>
      </c>
      <c r="C22">
        <v>0.19159999999999999</v>
      </c>
      <c r="D22" s="9">
        <f t="shared" si="0"/>
        <v>3.6710559999999996E-2</v>
      </c>
      <c r="E22" s="2">
        <f t="shared" si="1"/>
        <v>3.9133499999999891E-3</v>
      </c>
    </row>
    <row r="23" spans="1:5" x14ac:dyDescent="0.35">
      <c r="A23">
        <v>609</v>
      </c>
      <c r="B23">
        <v>0.93830000000000002</v>
      </c>
      <c r="C23">
        <v>0.20449999999999999</v>
      </c>
      <c r="D23" s="9">
        <f t="shared" si="0"/>
        <v>4.1820249999999996E-2</v>
      </c>
      <c r="E23" s="2">
        <f t="shared" si="1"/>
        <v>5.1096900000000001E-3</v>
      </c>
    </row>
    <row r="24" spans="1:5" x14ac:dyDescent="0.35">
      <c r="A24">
        <v>662</v>
      </c>
      <c r="B24">
        <v>1.0152000000000001</v>
      </c>
      <c r="C24">
        <v>0.2185</v>
      </c>
      <c r="D24" s="9">
        <f t="shared" si="0"/>
        <v>4.774225E-2</v>
      </c>
      <c r="E24" s="2">
        <f t="shared" si="1"/>
        <v>5.9220000000000036E-3</v>
      </c>
    </row>
    <row r="25" spans="1:5" x14ac:dyDescent="0.35">
      <c r="E25" s="2"/>
    </row>
    <row r="26" spans="1:5" x14ac:dyDescent="0.35">
      <c r="E26" s="2"/>
    </row>
    <row r="39" spans="2:5" x14ac:dyDescent="0.35">
      <c r="B39">
        <v>2.63E-2</v>
      </c>
      <c r="C39">
        <v>2.7E-2</v>
      </c>
      <c r="D39">
        <v>2.7800000000000005E-2</v>
      </c>
      <c r="E39">
        <v>2.9399999999999996E-2</v>
      </c>
    </row>
    <row r="40" spans="2:5" x14ac:dyDescent="0.35">
      <c r="B40">
        <v>1</v>
      </c>
      <c r="C40">
        <v>55</v>
      </c>
      <c r="D40">
        <v>74</v>
      </c>
      <c r="E40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MobilePC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</dc:creator>
  <cp:lastModifiedBy>Jaime</cp:lastModifiedBy>
  <dcterms:created xsi:type="dcterms:W3CDTF">2012-03-08T00:12:41Z</dcterms:created>
  <dcterms:modified xsi:type="dcterms:W3CDTF">2025-01-20T16:44:11Z</dcterms:modified>
</cp:coreProperties>
</file>