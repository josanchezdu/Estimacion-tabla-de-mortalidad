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aime\Documents\Docencia\Supervivencia\"/>
    </mc:Choice>
  </mc:AlternateContent>
  <xr:revisionPtr revIDLastSave="0" documentId="13_ncr:1_{11482986-F8E4-4D79-9AE2-44B4BF2CADC7}" xr6:coauthVersionLast="36" xr6:coauthVersionMax="36" xr10:uidLastSave="{00000000-0000-0000-0000-000000000000}"/>
  <bookViews>
    <workbookView xWindow="0" yWindow="0" windowWidth="20490" windowHeight="7760" xr2:uid="{00000000-000D-0000-FFFF-FFFF00000000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5" i="1" l="1"/>
  <c r="F6" i="1" s="1"/>
  <c r="F7" i="1" s="1"/>
  <c r="F8" i="1" s="1"/>
  <c r="F9" i="1" s="1"/>
  <c r="F10" i="1" s="1"/>
  <c r="F4" i="1"/>
  <c r="E4" i="1" l="1"/>
  <c r="I4" i="1" s="1"/>
  <c r="J4" i="1" s="1"/>
  <c r="E5" i="1"/>
  <c r="I5" i="1" s="1"/>
  <c r="J5" i="1" s="1"/>
  <c r="H14" i="1"/>
  <c r="H15" i="1" s="1"/>
  <c r="E14" i="1"/>
  <c r="F14" i="1" s="1"/>
  <c r="G14" i="1" s="1"/>
  <c r="E15" i="1"/>
  <c r="F15" i="1" s="1"/>
  <c r="E16" i="1"/>
  <c r="F16" i="1" s="1"/>
  <c r="E17" i="1"/>
  <c r="E18" i="1"/>
  <c r="E19" i="1"/>
  <c r="E20" i="1"/>
  <c r="F17" i="1" l="1"/>
  <c r="F18" i="1" s="1"/>
  <c r="F19" i="1" s="1"/>
  <c r="F20" i="1" s="1"/>
  <c r="I14" i="1"/>
  <c r="J14" i="1" s="1"/>
  <c r="H4" i="1"/>
  <c r="G15" i="1"/>
  <c r="I15" i="1" s="1"/>
  <c r="J15" i="1" s="1"/>
  <c r="E6" i="1"/>
  <c r="H16" i="1"/>
  <c r="I6" i="1" l="1"/>
  <c r="J6" i="1" s="1"/>
  <c r="E7" i="1"/>
  <c r="G5" i="1"/>
  <c r="H5" i="1" s="1"/>
  <c r="H17" i="1"/>
  <c r="G16" i="1"/>
  <c r="I16" i="1" s="1"/>
  <c r="J16" i="1" s="1"/>
  <c r="G6" i="1" l="1"/>
  <c r="H6" i="1" s="1"/>
  <c r="I7" i="1"/>
  <c r="J7" i="1" s="1"/>
  <c r="E8" i="1"/>
  <c r="G17" i="1"/>
  <c r="I17" i="1" s="1"/>
  <c r="J17" i="1" s="1"/>
  <c r="H18" i="1"/>
  <c r="E9" i="1" l="1"/>
  <c r="I8" i="1"/>
  <c r="J8" i="1" s="1"/>
  <c r="G7" i="1"/>
  <c r="H7" i="1" s="1"/>
  <c r="H19" i="1"/>
  <c r="G18" i="1"/>
  <c r="I18" i="1" s="1"/>
  <c r="J18" i="1" s="1"/>
  <c r="G8" i="1" l="1"/>
  <c r="H8" i="1" s="1"/>
  <c r="I9" i="1"/>
  <c r="J9" i="1" s="1"/>
  <c r="E10" i="1"/>
  <c r="G19" i="1"/>
  <c r="I19" i="1" s="1"/>
  <c r="J19" i="1" s="1"/>
  <c r="G20" i="1"/>
  <c r="H20" i="1"/>
  <c r="I20" i="1" l="1"/>
  <c r="J20" i="1" s="1"/>
  <c r="I10" i="1"/>
  <c r="J10" i="1" s="1"/>
  <c r="G10" i="1"/>
  <c r="H10" i="1" s="1"/>
  <c r="G9" i="1"/>
  <c r="H9" i="1" s="1"/>
</calcChain>
</file>

<file path=xl/sharedStrings.xml><?xml version="1.0" encoding="utf-8"?>
<sst xmlns="http://schemas.openxmlformats.org/spreadsheetml/2006/main" count="18" uniqueCount="15">
  <si>
    <t>Sum (Di/ni^2)</t>
  </si>
  <si>
    <r>
      <t>Ŝ</t>
    </r>
    <r>
      <rPr>
        <i/>
        <vertAlign val="subscript"/>
        <sz val="8"/>
        <rFont val="Times New Roman"/>
        <family val="1"/>
      </rPr>
      <t>NA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t</t>
    </r>
    <r>
      <rPr>
        <sz val="8"/>
        <rFont val="Times New Roman"/>
        <family val="1"/>
      </rPr>
      <t>)</t>
    </r>
  </si>
  <si>
    <r>
      <t>n</t>
    </r>
    <r>
      <rPr>
        <i/>
        <vertAlign val="subscript"/>
        <sz val="8"/>
        <rFont val="Times New Roman"/>
        <family val="1"/>
      </rPr>
      <t>i</t>
    </r>
  </si>
  <si>
    <r>
      <t>D</t>
    </r>
    <r>
      <rPr>
        <i/>
        <vertAlign val="subscript"/>
        <sz val="8"/>
        <rFont val="Times New Roman"/>
        <family val="1"/>
      </rPr>
      <t>i</t>
    </r>
  </si>
  <si>
    <r>
      <t>t</t>
    </r>
    <r>
      <rPr>
        <i/>
        <vertAlign val="subscript"/>
        <sz val="8"/>
        <rFont val="Times New Roman"/>
        <family val="1"/>
      </rPr>
      <t>i</t>
    </r>
  </si>
  <si>
    <t>Sum  (Di/(ni^2-niDi))</t>
  </si>
  <si>
    <r>
      <t>Ŝ</t>
    </r>
    <r>
      <rPr>
        <i/>
        <vertAlign val="subscript"/>
        <sz val="8"/>
        <rFont val="Times New Roman"/>
        <family val="1"/>
      </rPr>
      <t>KM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t</t>
    </r>
    <r>
      <rPr>
        <sz val="8"/>
        <rFont val="Times New Roman"/>
        <family val="1"/>
      </rPr>
      <t>)</t>
    </r>
  </si>
  <si>
    <t>5, 5, 8, 8+, 12, 16+, 23, 27, 30+, 33, 43, 45+</t>
  </si>
  <si>
    <t>Muestra</t>
  </si>
  <si>
    <t>Nelson-Aalen</t>
  </si>
  <si>
    <t>Kaplan-Meier</t>
  </si>
  <si>
    <r>
      <rPr>
        <sz val="8"/>
        <rFont val="Calibri"/>
        <family val="2"/>
      </rPr>
      <t>Ṽ</t>
    </r>
    <r>
      <rPr>
        <i/>
        <sz val="8"/>
        <rFont val="Times New Roman"/>
        <family val="1"/>
      </rPr>
      <t>ar(Ŝ</t>
    </r>
    <r>
      <rPr>
        <i/>
        <vertAlign val="subscript"/>
        <sz val="8"/>
        <rFont val="Times New Roman"/>
        <family val="1"/>
      </rPr>
      <t>KM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t</t>
    </r>
    <r>
      <rPr>
        <sz val="8"/>
        <rFont val="Times New Roman"/>
        <family val="1"/>
      </rPr>
      <t>))</t>
    </r>
  </si>
  <si>
    <r>
      <rPr>
        <sz val="8"/>
        <rFont val="Calibri"/>
        <family val="2"/>
      </rPr>
      <t>ŝ</t>
    </r>
    <r>
      <rPr>
        <i/>
        <sz val="8"/>
        <rFont val="Times New Roman"/>
        <family val="1"/>
      </rPr>
      <t>e (Ŝ</t>
    </r>
    <r>
      <rPr>
        <i/>
        <vertAlign val="subscript"/>
        <sz val="8"/>
        <rFont val="Times New Roman"/>
        <family val="1"/>
      </rPr>
      <t>KM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t</t>
    </r>
    <r>
      <rPr>
        <sz val="8"/>
        <rFont val="Times New Roman"/>
        <family val="1"/>
      </rPr>
      <t>))</t>
    </r>
  </si>
  <si>
    <r>
      <t>Ṽar (Ŝ</t>
    </r>
    <r>
      <rPr>
        <i/>
        <vertAlign val="subscript"/>
        <sz val="8"/>
        <rFont val="Times New Roman"/>
        <family val="1"/>
      </rPr>
      <t>NA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t</t>
    </r>
    <r>
      <rPr>
        <sz val="8"/>
        <rFont val="Times New Roman"/>
        <family val="1"/>
      </rPr>
      <t>) )</t>
    </r>
  </si>
  <si>
    <r>
      <t>ŝe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Ŝ</t>
    </r>
    <r>
      <rPr>
        <i/>
        <vertAlign val="subscript"/>
        <sz val="8"/>
        <rFont val="Times New Roman"/>
        <family val="1"/>
      </rPr>
      <t>NA</t>
    </r>
    <r>
      <rPr>
        <sz val="8"/>
        <rFont val="Times New Roman"/>
        <family val="1"/>
      </rPr>
      <t>(</t>
    </r>
    <r>
      <rPr>
        <i/>
        <sz val="8"/>
        <rFont val="Times New Roman"/>
        <family val="1"/>
      </rPr>
      <t>t</t>
    </r>
    <r>
      <rPr>
        <sz val="8"/>
        <rFont val="Times New Roman"/>
        <family val="1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</si>
</sst>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0"/>
      <name val="Arial"/>
    </font>
    <font>
      <sz val="1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vertAlign val="subscript"/>
      <sz val="8"/>
      <name val="Times New Roman"/>
      <family val="1"/>
    </font>
    <font>
      <vertAlign val="subscript"/>
      <sz val="8"/>
      <name val="Times New Roman"/>
      <family val="1"/>
    </font>
    <font>
      <sz val="11"/>
      <name val="Times New Roman"/>
      <family val="1"/>
    </font>
    <font>
      <sz val="8"/>
      <name val="Calibri"/>
      <family val="2"/>
    </font>
    <font>
      <i/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/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187325</xdr:colOff>
          <xdr:row>11</xdr:row>
          <xdr:rowOff>149225</xdr:rowOff>
        </xdr:from>
        <xdr:to>
          <xdr:col>5</xdr:col>
          <xdr:colOff>587375</xdr:colOff>
          <xdr:row>13</xdr:row>
          <xdr:rowOff>34925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171450</xdr:colOff>
          <xdr:row>11</xdr:row>
          <xdr:rowOff>133350</xdr:rowOff>
        </xdr:from>
        <xdr:to>
          <xdr:col>4</xdr:col>
          <xdr:colOff>609600</xdr:colOff>
          <xdr:row>13</xdr:row>
          <xdr:rowOff>38100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104775</xdr:colOff>
      <xdr:row>1</xdr:row>
      <xdr:rowOff>98425</xdr:rowOff>
    </xdr:from>
    <xdr:to>
      <xdr:col>9</xdr:col>
      <xdr:colOff>743668</xdr:colOff>
      <xdr:row>3</xdr:row>
      <xdr:rowOff>47662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Object 6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7655983" y="278342"/>
              <a:ext cx="638893" cy="2773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100" i="1"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</m:acc>
                      </m:e>
                      <m:sub>
                        <m:r>
                          <a:rPr lang="es-CO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𝐾𝑀</m:t>
                        </m:r>
                      </m:sub>
                    </m:sSub>
                    <m:r>
                      <a:rPr lang="es-CO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s-CO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CO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/>
            </a:p>
          </xdr:txBody>
        </xdr:sp>
      </mc:Choice>
      <mc:Fallback>
        <xdr:sp macro="" textlink="">
          <xdr:nvSpPr>
            <xdr:cNvPr id="2" name="Object 6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7655983" y="278342"/>
              <a:ext cx="638893" cy="2773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CO" sz="1100" i="0"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lang="es-CO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̂_</a:t>
              </a:r>
              <a:r>
                <a:rPr lang="es-CO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𝐾𝑀 </a:t>
              </a:r>
              <a:r>
                <a:rPr lang="es-CO" i="0">
                  <a:solidFill>
                    <a:srgbClr val="000000"/>
                  </a:solidFill>
                  <a:latin typeface="Cambria Math" panose="02040503050406030204" pitchFamily="18" charset="0"/>
                </a:rPr>
                <a:t>(𝑡)</a:t>
              </a:r>
              <a:endParaRPr lang="es-CO"/>
            </a:p>
          </xdr:txBody>
        </xdr:sp>
      </mc:Fallback>
    </mc:AlternateContent>
    <xdr:clientData/>
  </xdr:twoCellAnchor>
  <xdr:oneCellAnchor>
    <xdr:from>
      <xdr:col>8</xdr:col>
      <xdr:colOff>169862</xdr:colOff>
      <xdr:row>1</xdr:row>
      <xdr:rowOff>146314</xdr:rowOff>
    </xdr:from>
    <xdr:ext cx="470706" cy="1814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6858529" y="326231"/>
              <a:ext cx="470706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el-GR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Λ</m:t>
                            </m:r>
                          </m:e>
                        </m:acc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𝐾𝑀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6858529" y="326231"/>
              <a:ext cx="470706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Λ</a:t>
              </a:r>
              <a:r>
                <a:rPr lang="es-CO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̂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𝐾𝑀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s-ES" sz="1100" b="0" i="0">
                  <a:latin typeface="Cambria Math" panose="02040503050406030204" pitchFamily="18" charset="0"/>
                </a:rPr>
                <a:t>(𝑡)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20" zoomScaleNormal="120" workbookViewId="0">
      <selection activeCell="B3" sqref="B3"/>
    </sheetView>
  </sheetViews>
  <sheetFormatPr baseColWidth="10" defaultRowHeight="12.5" x14ac:dyDescent="0.25"/>
  <cols>
    <col min="6" max="6" width="16.7265625" customWidth="1"/>
    <col min="7" max="7" width="15" customWidth="1"/>
    <col min="8" max="8" width="9.453125" bestFit="1" customWidth="1"/>
  </cols>
  <sheetData>
    <row r="1" spans="1:10" ht="14" x14ac:dyDescent="0.3">
      <c r="A1" t="s">
        <v>8</v>
      </c>
      <c r="B1" s="10" t="s">
        <v>7</v>
      </c>
    </row>
    <row r="2" spans="1:10" ht="13" thickBot="1" x14ac:dyDescent="0.3">
      <c r="B2" t="s">
        <v>10</v>
      </c>
    </row>
    <row r="3" spans="1:10" ht="13" thickBot="1" x14ac:dyDescent="0.3">
      <c r="B3" s="9" t="s">
        <v>4</v>
      </c>
      <c r="C3" s="7" t="s">
        <v>3</v>
      </c>
      <c r="D3" s="7" t="s">
        <v>2</v>
      </c>
      <c r="E3" s="6" t="s">
        <v>6</v>
      </c>
      <c r="F3" s="6" t="s">
        <v>5</v>
      </c>
      <c r="G3" s="11" t="s">
        <v>11</v>
      </c>
      <c r="H3" s="12" t="s">
        <v>12</v>
      </c>
      <c r="I3" s="8"/>
      <c r="J3" s="8"/>
    </row>
    <row r="4" spans="1:10" ht="13.5" thickBot="1" x14ac:dyDescent="0.3">
      <c r="B4" s="4">
        <v>5</v>
      </c>
      <c r="C4" s="3">
        <v>2</v>
      </c>
      <c r="D4" s="3">
        <v>12</v>
      </c>
      <c r="E4" s="2">
        <f>1-C4/D4</f>
        <v>0.83333333333333337</v>
      </c>
      <c r="F4" s="2">
        <f>C4/(D4^2-D4*C4)</f>
        <v>1.6666666666666666E-2</v>
      </c>
      <c r="G4" s="2">
        <f t="shared" ref="G4:G10" si="0">F4*(E4^2)</f>
        <v>1.1574074074074075E-2</v>
      </c>
      <c r="H4" s="1">
        <f t="shared" ref="H4:H10" si="1">G4^0.5</f>
        <v>0.10758287072798381</v>
      </c>
      <c r="I4" s="1">
        <f t="shared" ref="I4:I10" si="2">-LN(E4)</f>
        <v>0.18232155679395459</v>
      </c>
      <c r="J4" s="1">
        <f>I4</f>
        <v>0.18232155679395459</v>
      </c>
    </row>
    <row r="5" spans="1:10" ht="13.5" thickBot="1" x14ac:dyDescent="0.3">
      <c r="B5" s="4">
        <v>8</v>
      </c>
      <c r="C5" s="3">
        <v>1</v>
      </c>
      <c r="D5" s="3">
        <v>10</v>
      </c>
      <c r="E5" s="2">
        <f t="shared" ref="E5:E10" si="3">(D5-C5)/D5*E4</f>
        <v>0.75</v>
      </c>
      <c r="F5" s="2">
        <f t="shared" ref="F5:F10" si="4">F4+C5/(D5^2-D5*C5)</f>
        <v>2.7777777777777776E-2</v>
      </c>
      <c r="G5" s="2">
        <f t="shared" si="0"/>
        <v>1.5625E-2</v>
      </c>
      <c r="H5" s="1">
        <f t="shared" si="1"/>
        <v>0.125</v>
      </c>
      <c r="I5" s="1">
        <f t="shared" si="2"/>
        <v>0.2876820724517809</v>
      </c>
      <c r="J5" s="1">
        <f>I5-I4</f>
        <v>0.10536051565782631</v>
      </c>
    </row>
    <row r="6" spans="1:10" ht="13.5" thickBot="1" x14ac:dyDescent="0.3">
      <c r="B6" s="4">
        <v>12</v>
      </c>
      <c r="C6" s="3">
        <v>1</v>
      </c>
      <c r="D6" s="3">
        <v>8</v>
      </c>
      <c r="E6" s="2">
        <f t="shared" si="3"/>
        <v>0.65625</v>
      </c>
      <c r="F6" s="2">
        <f t="shared" si="4"/>
        <v>4.5634920634920632E-2</v>
      </c>
      <c r="G6" s="2">
        <f t="shared" si="0"/>
        <v>1.96533203125E-2</v>
      </c>
      <c r="H6" s="1">
        <f t="shared" si="1"/>
        <v>0.1401903003509872</v>
      </c>
      <c r="I6" s="1">
        <f t="shared" si="2"/>
        <v>0.42121346507630353</v>
      </c>
      <c r="J6" s="1">
        <f t="shared" ref="J6:J10" si="5">I6-I5</f>
        <v>0.13353139262452263</v>
      </c>
    </row>
    <row r="7" spans="1:10" ht="13.5" thickBot="1" x14ac:dyDescent="0.3">
      <c r="B7" s="4">
        <v>23</v>
      </c>
      <c r="C7" s="3">
        <v>1</v>
      </c>
      <c r="D7" s="3">
        <v>6</v>
      </c>
      <c r="E7" s="2">
        <f t="shared" si="3"/>
        <v>0.546875</v>
      </c>
      <c r="F7" s="2">
        <f t="shared" si="4"/>
        <v>7.8968253968253965E-2</v>
      </c>
      <c r="G7" s="2">
        <f t="shared" si="0"/>
        <v>2.3617214626736112E-2</v>
      </c>
      <c r="H7" s="1">
        <f t="shared" si="1"/>
        <v>0.15367893358146428</v>
      </c>
      <c r="I7" s="1">
        <f t="shared" si="2"/>
        <v>0.6035350218702582</v>
      </c>
      <c r="J7" s="1">
        <f t="shared" si="5"/>
        <v>0.18232155679395468</v>
      </c>
    </row>
    <row r="8" spans="1:10" ht="13.5" thickBot="1" x14ac:dyDescent="0.3">
      <c r="B8" s="4">
        <v>27</v>
      </c>
      <c r="C8" s="3">
        <v>1</v>
      </c>
      <c r="D8" s="3">
        <v>5</v>
      </c>
      <c r="E8" s="2">
        <f t="shared" si="3"/>
        <v>0.4375</v>
      </c>
      <c r="F8" s="2">
        <f t="shared" si="4"/>
        <v>0.12896825396825395</v>
      </c>
      <c r="G8" s="2">
        <f t="shared" si="0"/>
        <v>2.4685329861111108E-2</v>
      </c>
      <c r="H8" s="1">
        <f t="shared" si="1"/>
        <v>0.15711565759373286</v>
      </c>
      <c r="I8" s="1">
        <f t="shared" si="2"/>
        <v>0.82667857318446791</v>
      </c>
      <c r="J8" s="1">
        <f t="shared" si="5"/>
        <v>0.22314355131420971</v>
      </c>
    </row>
    <row r="9" spans="1:10" ht="13.5" thickBot="1" x14ac:dyDescent="0.3">
      <c r="B9" s="4">
        <v>33</v>
      </c>
      <c r="C9" s="3">
        <v>1</v>
      </c>
      <c r="D9" s="3">
        <v>3</v>
      </c>
      <c r="E9" s="2">
        <f t="shared" si="3"/>
        <v>0.29166666666666663</v>
      </c>
      <c r="F9" s="2">
        <f t="shared" si="4"/>
        <v>0.29563492063492058</v>
      </c>
      <c r="G9" s="2">
        <f t="shared" si="0"/>
        <v>2.5149498456790112E-2</v>
      </c>
      <c r="H9" s="1">
        <f t="shared" si="1"/>
        <v>0.15858593398151713</v>
      </c>
      <c r="I9" s="1">
        <f t="shared" si="2"/>
        <v>1.2321436812926325</v>
      </c>
      <c r="J9" s="1">
        <f t="shared" si="5"/>
        <v>0.40546510810816461</v>
      </c>
    </row>
    <row r="10" spans="1:10" ht="13.5" thickBot="1" x14ac:dyDescent="0.3">
      <c r="B10" s="4">
        <v>43</v>
      </c>
      <c r="C10" s="3">
        <v>1</v>
      </c>
      <c r="D10" s="3">
        <v>2</v>
      </c>
      <c r="E10" s="2">
        <f t="shared" si="3"/>
        <v>0.14583333333333331</v>
      </c>
      <c r="F10" s="2">
        <f t="shared" si="4"/>
        <v>0.79563492063492058</v>
      </c>
      <c r="G10" s="2">
        <f t="shared" si="0"/>
        <v>1.692105516975308E-2</v>
      </c>
      <c r="H10" s="1">
        <f t="shared" si="1"/>
        <v>0.13008095621478602</v>
      </c>
      <c r="I10" s="1">
        <f t="shared" si="2"/>
        <v>1.9252908618525777</v>
      </c>
      <c r="J10" s="1">
        <f t="shared" si="5"/>
        <v>0.69314718055994518</v>
      </c>
    </row>
    <row r="12" spans="1:10" ht="13" thickBot="1" x14ac:dyDescent="0.3">
      <c r="B12" t="s">
        <v>9</v>
      </c>
    </row>
    <row r="13" spans="1:10" ht="13" thickBot="1" x14ac:dyDescent="0.3">
      <c r="B13" s="9" t="s">
        <v>4</v>
      </c>
      <c r="C13" s="7" t="s">
        <v>3</v>
      </c>
      <c r="D13" s="7" t="s">
        <v>2</v>
      </c>
      <c r="E13" s="7"/>
      <c r="F13" s="5"/>
      <c r="G13" s="7" t="s">
        <v>1</v>
      </c>
      <c r="H13" s="7" t="s">
        <v>0</v>
      </c>
      <c r="I13" s="7" t="s">
        <v>13</v>
      </c>
      <c r="J13" s="7" t="s">
        <v>14</v>
      </c>
    </row>
    <row r="14" spans="1:10" ht="13.5" thickBot="1" x14ac:dyDescent="0.3">
      <c r="B14" s="4">
        <v>5</v>
      </c>
      <c r="C14" s="3">
        <v>2</v>
      </c>
      <c r="D14" s="3">
        <v>12</v>
      </c>
      <c r="E14" s="1">
        <f t="shared" ref="E14:E20" si="6">C14/D14</f>
        <v>0.16666666666666666</v>
      </c>
      <c r="F14" s="2">
        <f>E14</f>
        <v>0.16666666666666666</v>
      </c>
      <c r="G14" s="1">
        <f t="shared" ref="G14:G20" si="7">EXP(-F14)</f>
        <v>0.84648172489061413</v>
      </c>
      <c r="H14" s="1">
        <f>C14/(D14^2)</f>
        <v>1.3888888888888888E-2</v>
      </c>
      <c r="I14" s="1">
        <f t="shared" ref="I14:I20" si="8">H14*(G14^2)</f>
        <v>9.951823757969297E-3</v>
      </c>
      <c r="J14" s="1">
        <f t="shared" ref="J14:J20" si="9">I14^0.5</f>
        <v>9.9758827970106476E-2</v>
      </c>
    </row>
    <row r="15" spans="1:10" ht="13.5" thickBot="1" x14ac:dyDescent="0.3">
      <c r="B15" s="4">
        <v>8</v>
      </c>
      <c r="C15" s="3">
        <v>1</v>
      </c>
      <c r="D15" s="3">
        <v>10</v>
      </c>
      <c r="E15" s="1">
        <f t="shared" si="6"/>
        <v>0.1</v>
      </c>
      <c r="F15" s="2">
        <f t="shared" ref="F15:F20" si="10">E15+F14</f>
        <v>0.26666666666666666</v>
      </c>
      <c r="G15" s="1">
        <f t="shared" si="7"/>
        <v>0.76592833836464869</v>
      </c>
      <c r="H15" s="1">
        <f t="shared" ref="H15:H20" si="11">H14+C15/(D15^2)</f>
        <v>2.388888888888889E-2</v>
      </c>
      <c r="I15" s="1">
        <f t="shared" si="8"/>
        <v>1.4014326354961871E-2</v>
      </c>
      <c r="J15" s="1">
        <f t="shared" si="9"/>
        <v>0.1183821200813783</v>
      </c>
    </row>
    <row r="16" spans="1:10" ht="13.5" thickBot="1" x14ac:dyDescent="0.3">
      <c r="B16" s="4">
        <v>12</v>
      </c>
      <c r="C16" s="3">
        <v>1</v>
      </c>
      <c r="D16" s="3">
        <v>8</v>
      </c>
      <c r="E16" s="1">
        <f t="shared" si="6"/>
        <v>0.125</v>
      </c>
      <c r="F16" s="2">
        <f t="shared" si="10"/>
        <v>0.39166666666666666</v>
      </c>
      <c r="G16" s="1">
        <f t="shared" si="7"/>
        <v>0.67592938620856846</v>
      </c>
      <c r="H16" s="1">
        <f t="shared" si="11"/>
        <v>3.951388888888889E-2</v>
      </c>
      <c r="I16" s="1">
        <f t="shared" si="8"/>
        <v>1.8053126701029598E-2</v>
      </c>
      <c r="J16" s="1">
        <f t="shared" si="9"/>
        <v>0.13436192429788135</v>
      </c>
    </row>
    <row r="17" spans="2:10" ht="13.5" thickBot="1" x14ac:dyDescent="0.3">
      <c r="B17" s="4">
        <v>23</v>
      </c>
      <c r="C17" s="3">
        <v>1</v>
      </c>
      <c r="D17" s="3">
        <v>6</v>
      </c>
      <c r="E17" s="1">
        <f t="shared" si="6"/>
        <v>0.16666666666666666</v>
      </c>
      <c r="F17" s="2">
        <f t="shared" si="10"/>
        <v>0.55833333333333335</v>
      </c>
      <c r="G17" s="1">
        <f t="shared" si="7"/>
        <v>0.57216187274208297</v>
      </c>
      <c r="H17" s="1">
        <f t="shared" si="11"/>
        <v>6.7291666666666666E-2</v>
      </c>
      <c r="I17" s="1">
        <f t="shared" si="8"/>
        <v>2.2029219663369168E-2</v>
      </c>
      <c r="J17" s="1">
        <f t="shared" si="9"/>
        <v>0.14842243652281539</v>
      </c>
    </row>
    <row r="18" spans="2:10" ht="13.5" thickBot="1" x14ac:dyDescent="0.3">
      <c r="B18" s="4">
        <v>27</v>
      </c>
      <c r="C18" s="3">
        <v>1</v>
      </c>
      <c r="D18" s="3">
        <v>5</v>
      </c>
      <c r="E18" s="1">
        <f t="shared" si="6"/>
        <v>0.2</v>
      </c>
      <c r="F18" s="2">
        <f t="shared" si="10"/>
        <v>0.7583333333333333</v>
      </c>
      <c r="G18" s="1">
        <f t="shared" si="7"/>
        <v>0.46844652095263406</v>
      </c>
      <c r="H18" s="1">
        <f t="shared" si="11"/>
        <v>0.10729166666666667</v>
      </c>
      <c r="I18" s="1">
        <f t="shared" si="8"/>
        <v>2.3544313258583902E-2</v>
      </c>
      <c r="J18" s="1">
        <f t="shared" si="9"/>
        <v>0.15344156300880119</v>
      </c>
    </row>
    <row r="19" spans="2:10" ht="13.5" thickBot="1" x14ac:dyDescent="0.3">
      <c r="B19" s="4">
        <v>33</v>
      </c>
      <c r="C19" s="3">
        <v>1</v>
      </c>
      <c r="D19" s="3">
        <v>3</v>
      </c>
      <c r="E19" s="1">
        <f t="shared" si="6"/>
        <v>0.33333333333333331</v>
      </c>
      <c r="F19" s="2">
        <f t="shared" si="10"/>
        <v>1.0916666666666666</v>
      </c>
      <c r="G19" s="1">
        <f t="shared" si="7"/>
        <v>0.33565659959192296</v>
      </c>
      <c r="H19" s="1">
        <f t="shared" si="11"/>
        <v>0.21840277777777778</v>
      </c>
      <c r="I19" s="1">
        <f t="shared" si="8"/>
        <v>2.4606426021668838E-2</v>
      </c>
      <c r="J19" s="1">
        <f t="shared" si="9"/>
        <v>0.15686435548482275</v>
      </c>
    </row>
    <row r="20" spans="2:10" ht="13.5" thickBot="1" x14ac:dyDescent="0.3">
      <c r="B20" s="4">
        <v>43</v>
      </c>
      <c r="C20" s="3">
        <v>1</v>
      </c>
      <c r="D20" s="3">
        <v>2</v>
      </c>
      <c r="E20" s="1">
        <f t="shared" si="6"/>
        <v>0.5</v>
      </c>
      <c r="F20" s="2">
        <f t="shared" si="10"/>
        <v>1.5916666666666666</v>
      </c>
      <c r="G20" s="1">
        <f t="shared" si="7"/>
        <v>0.20358601878738827</v>
      </c>
      <c r="H20" s="1">
        <f t="shared" si="11"/>
        <v>0.46840277777777778</v>
      </c>
      <c r="I20" s="1">
        <f t="shared" si="8"/>
        <v>1.9414015015502672E-2</v>
      </c>
      <c r="J20" s="1">
        <f t="shared" si="9"/>
        <v>0.13933418466228117</v>
      </c>
    </row>
  </sheetData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26" r:id="rId4">
          <objectPr defaultSize="0" autoPict="0" r:id="rId5">
            <anchor moveWithCells="1" sizeWithCells="1">
              <from>
                <xdr:col>5</xdr:col>
                <xdr:colOff>190500</xdr:colOff>
                <xdr:row>11</xdr:row>
                <xdr:rowOff>152400</xdr:rowOff>
              </from>
              <to>
                <xdr:col>5</xdr:col>
                <xdr:colOff>590550</xdr:colOff>
                <xdr:row>13</xdr:row>
                <xdr:rowOff>38100</xdr:rowOff>
              </to>
            </anchor>
          </objectPr>
        </oleObject>
      </mc:Choice>
      <mc:Fallback>
        <oleObject progId="Equation.3" shapeId="1026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4</xdr:col>
                <xdr:colOff>171450</xdr:colOff>
                <xdr:row>11</xdr:row>
                <xdr:rowOff>133350</xdr:rowOff>
              </from>
              <to>
                <xdr:col>4</xdr:col>
                <xdr:colOff>609600</xdr:colOff>
                <xdr:row>13</xdr:row>
                <xdr:rowOff>38100</xdr:rowOff>
              </to>
            </anchor>
          </objectPr>
        </oleObject>
      </mc:Choice>
      <mc:Fallback>
        <oleObject progId="Equation.3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 NACIONAL DE COLOMBIA</dc:creator>
  <cp:lastModifiedBy>Jaime</cp:lastModifiedBy>
  <dcterms:created xsi:type="dcterms:W3CDTF">2020-10-28T21:00:18Z</dcterms:created>
  <dcterms:modified xsi:type="dcterms:W3CDTF">2025-10-25T13:44:28Z</dcterms:modified>
</cp:coreProperties>
</file>